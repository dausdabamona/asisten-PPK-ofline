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PK\output\2026\PKT-2026-0006_TEFA udang Vaname\HPS\"/>
    </mc:Choice>
  </mc:AlternateContent>
  <xr:revisionPtr revIDLastSave="0" documentId="13_ncr:1_{25B51CC9-B9E0-4188-9081-19D8BB97ACDA}" xr6:coauthVersionLast="47" xr6:coauthVersionMax="47" xr10:uidLastSave="{00000000-0000-0000-0000-000000000000}"/>
  <bookViews>
    <workbookView xWindow="1260" yWindow="630" windowWidth="17775" windowHeight="14970" xr2:uid="{00000000-000D-0000-FFFF-FFFF00000000}"/>
  </bookViews>
  <sheets>
    <sheet name="H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5" i="1"/>
  <c r="H36" i="1"/>
  <c r="H37" i="1"/>
  <c r="H38" i="1"/>
  <c r="H39" i="1"/>
  <c r="H40" i="1"/>
  <c r="H41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9" i="1"/>
  <c r="G32" i="1"/>
  <c r="G33" i="1"/>
  <c r="G34" i="1"/>
  <c r="G35" i="1"/>
  <c r="G36" i="1"/>
  <c r="G37" i="1"/>
  <c r="G38" i="1"/>
  <c r="G39" i="1"/>
  <c r="G40" i="1"/>
  <c r="G41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9" i="1"/>
</calcChain>
</file>

<file path=xl/sharedStrings.xml><?xml version="1.0" encoding="utf-8"?>
<sst xmlns="http://schemas.openxmlformats.org/spreadsheetml/2006/main" count="189" uniqueCount="132">
  <si>
    <t>HARGA PERKIRAAN SENDIRI (HPS)</t>
  </si>
  <si>
    <t>Nama Paket:</t>
  </si>
  <si>
    <t>TEFA udang Vaname</t>
  </si>
  <si>
    <t>Kode Paket:</t>
  </si>
  <si>
    <t>PKT-2026-0006</t>
  </si>
  <si>
    <t>Tahun Anggaran:</t>
  </si>
  <si>
    <t>Pagu Anggaran:</t>
  </si>
  <si>
    <t>Metode HPS:</t>
  </si>
  <si>
    <t>No</t>
  </si>
  <si>
    <t>Uraian Barang/Jasa</t>
  </si>
  <si>
    <t>Spesifikasi</t>
  </si>
  <si>
    <t>Satuan</t>
  </si>
  <si>
    <t>Volume</t>
  </si>
  <si>
    <t>Harga Survey</t>
  </si>
  <si>
    <t>Harga HPS/Satuan</t>
  </si>
  <si>
    <t>Total HPS</t>
  </si>
  <si>
    <t>1</t>
  </si>
  <si>
    <t>Benur</t>
  </si>
  <si>
    <t>Ekor</t>
  </si>
  <si>
    <t>85.000</t>
  </si>
  <si>
    <t>146</t>
  </si>
  <si>
    <t>2</t>
  </si>
  <si>
    <t>Pakan (PV-C0)</t>
  </si>
  <si>
    <t>Kg</t>
  </si>
  <si>
    <t>25</t>
  </si>
  <si>
    <t>22.250</t>
  </si>
  <si>
    <t>3</t>
  </si>
  <si>
    <t>Pakan (PV-C1)</t>
  </si>
  <si>
    <t>100</t>
  </si>
  <si>
    <t>22.100</t>
  </si>
  <si>
    <t>4</t>
  </si>
  <si>
    <t>Pakan (SGH-P1.0)</t>
  </si>
  <si>
    <t>325</t>
  </si>
  <si>
    <t>20.800</t>
  </si>
  <si>
    <t>5</t>
  </si>
  <si>
    <t>Pakan (SGH-P1.2)</t>
  </si>
  <si>
    <t>1.000</t>
  </si>
  <si>
    <t>20.450</t>
  </si>
  <si>
    <t>6</t>
  </si>
  <si>
    <t>Pakan (SGH-P1.4)</t>
  </si>
  <si>
    <t>1.100</t>
  </si>
  <si>
    <t>20.100</t>
  </si>
  <si>
    <t>7</t>
  </si>
  <si>
    <t>Kapur Kaptan omya</t>
  </si>
  <si>
    <t>400</t>
  </si>
  <si>
    <t>8.000</t>
  </si>
  <si>
    <t>8</t>
  </si>
  <si>
    <t>Probiotik (Bacillus)</t>
  </si>
  <si>
    <t>345.000</t>
  </si>
  <si>
    <t>9</t>
  </si>
  <si>
    <t>Probiotik (Lakto+)</t>
  </si>
  <si>
    <t>368.000</t>
  </si>
  <si>
    <t>10</t>
  </si>
  <si>
    <t>Molase</t>
  </si>
  <si>
    <t>Liter</t>
  </si>
  <si>
    <t>15</t>
  </si>
  <si>
    <t>30.000</t>
  </si>
  <si>
    <t>11</t>
  </si>
  <si>
    <t>Vitamin C (Takeda)</t>
  </si>
  <si>
    <t>400.000</t>
  </si>
  <si>
    <t>12</t>
  </si>
  <si>
    <t>Progol</t>
  </si>
  <si>
    <t>225.000</t>
  </si>
  <si>
    <t>13</t>
  </si>
  <si>
    <t>Dedak</t>
  </si>
  <si>
    <t>7.000</t>
  </si>
  <si>
    <t>14</t>
  </si>
  <si>
    <t>Saponin</t>
  </si>
  <si>
    <t>20</t>
  </si>
  <si>
    <t>35.000</t>
  </si>
  <si>
    <t>Pupuk Urea</t>
  </si>
  <si>
    <t>14.500</t>
  </si>
  <si>
    <t>16</t>
  </si>
  <si>
    <t>Pupuk TSP</t>
  </si>
  <si>
    <t>17</t>
  </si>
  <si>
    <t>Pupuk NPK</t>
  </si>
  <si>
    <t>25.000</t>
  </si>
  <si>
    <t>18</t>
  </si>
  <si>
    <t>Lem aibon</t>
  </si>
  <si>
    <t>Kaleng</t>
  </si>
  <si>
    <t>115.000</t>
  </si>
  <si>
    <t>19</t>
  </si>
  <si>
    <t>Lakban hitam</t>
  </si>
  <si>
    <t>Buah</t>
  </si>
  <si>
    <t>Oli mesran 20W-50</t>
  </si>
  <si>
    <t>55.000</t>
  </si>
  <si>
    <t>21</t>
  </si>
  <si>
    <t>Bambu anco</t>
  </si>
  <si>
    <t>50.000</t>
  </si>
  <si>
    <t>22</t>
  </si>
  <si>
    <t>Test kit DO</t>
  </si>
  <si>
    <t>Set</t>
  </si>
  <si>
    <t>440.000</t>
  </si>
  <si>
    <t>23</t>
  </si>
  <si>
    <t>Test kit NO2</t>
  </si>
  <si>
    <t>425.000</t>
  </si>
  <si>
    <t>24</t>
  </si>
  <si>
    <t>Test kit NO3</t>
  </si>
  <si>
    <t>419.000</t>
  </si>
  <si>
    <t>Test kit Phospat</t>
  </si>
  <si>
    <t>415.000</t>
  </si>
  <si>
    <t>26</t>
  </si>
  <si>
    <t>Testkit pH paper</t>
  </si>
  <si>
    <t>375.000</t>
  </si>
  <si>
    <t>27</t>
  </si>
  <si>
    <t>Elbow PVC 6 inchi</t>
  </si>
  <si>
    <t>120.000</t>
  </si>
  <si>
    <t>28</t>
  </si>
  <si>
    <t>Sambungan PVC 6 inchi</t>
  </si>
  <si>
    <t>95.500</t>
  </si>
  <si>
    <t>29</t>
  </si>
  <si>
    <t>Kantong Plastik besar</t>
  </si>
  <si>
    <t>Pak</t>
  </si>
  <si>
    <t>30</t>
  </si>
  <si>
    <t>Kantong Plastik sedang</t>
  </si>
  <si>
    <t>31</t>
  </si>
  <si>
    <t>Plastik Packing</t>
  </si>
  <si>
    <t>kg</t>
  </si>
  <si>
    <t>32</t>
  </si>
  <si>
    <t>Es Batu</t>
  </si>
  <si>
    <t>17.500</t>
  </si>
  <si>
    <t>33</t>
  </si>
  <si>
    <t>Sarung Tangan</t>
  </si>
  <si>
    <t>95.000</t>
  </si>
  <si>
    <t>SUBTOTAL</t>
  </si>
  <si>
    <t>Rp 81.521.250</t>
  </si>
  <si>
    <t>PPN 11%</t>
  </si>
  <si>
    <t>Rp 8.967.337</t>
  </si>
  <si>
    <t>TOTAL HPS</t>
  </si>
  <si>
    <t>Rp 90.488.587</t>
  </si>
  <si>
    <t>Terbilang:</t>
  </si>
  <si>
    <t>sembilan puluh juta empat ratus delapan puluh delapan ribu lima ratus delapan puluh tujuh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</si>
</sst>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E40" sqref="E40"/>
    </sheetView>
  </sheetViews>
  <sheetFormatPr defaultRowHeight="15" x14ac:dyDescent="0.25"/>
  <cols>
    <col min="1" max="1" width="13.7109375" customWidth="1"/>
    <col min="2" max="2" width="35" customWidth="1"/>
    <col min="3" max="3" width="25" customWidth="1"/>
    <col min="4" max="5" width="8" customWidth="1"/>
    <col min="6" max="7" width="15" customWidth="1"/>
    <col min="8" max="8" width="18" customWidth="1"/>
  </cols>
  <sheetData>
    <row r="1" spans="1:8" ht="18.75" x14ac:dyDescent="0.3">
      <c r="A1" s="1" t="s">
        <v>0</v>
      </c>
    </row>
    <row r="2" spans="1:8" x14ac:dyDescent="0.25">
      <c r="A2" t="s">
        <v>1</v>
      </c>
      <c r="B2" t="s">
        <v>2</v>
      </c>
    </row>
    <row r="3" spans="1:8" x14ac:dyDescent="0.25">
      <c r="A3" t="s">
        <v>3</v>
      </c>
      <c r="B3" t="s">
        <v>4</v>
      </c>
    </row>
    <row r="4" spans="1:8" x14ac:dyDescent="0.25">
      <c r="A4" t="s">
        <v>5</v>
      </c>
      <c r="B4">
        <v>2026</v>
      </c>
    </row>
    <row r="5" spans="1:8" x14ac:dyDescent="0.25">
      <c r="A5" t="s">
        <v>6</v>
      </c>
    </row>
    <row r="6" spans="1:8" x14ac:dyDescent="0.25">
      <c r="A6" t="s">
        <v>7</v>
      </c>
    </row>
    <row r="8" spans="1:8" ht="30" customHeight="1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1:8" x14ac:dyDescent="0.25">
      <c r="A9" s="3" t="s">
        <v>16</v>
      </c>
      <c r="B9" s="4" t="s">
        <v>17</v>
      </c>
      <c r="C9" s="4"/>
      <c r="D9" s="3" t="s">
        <v>18</v>
      </c>
      <c r="E9" s="5" t="s">
        <v>19</v>
      </c>
      <c r="F9" s="6" t="s">
        <v>20</v>
      </c>
      <c r="G9" s="6" t="str">
        <f>F9</f>
        <v>146</v>
      </c>
      <c r="H9" s="6">
        <f>G9*E9</f>
        <v>12410000</v>
      </c>
    </row>
    <row r="10" spans="1:8" x14ac:dyDescent="0.25">
      <c r="A10" s="3" t="s">
        <v>21</v>
      </c>
      <c r="B10" s="4" t="s">
        <v>22</v>
      </c>
      <c r="C10" s="4"/>
      <c r="D10" s="3" t="s">
        <v>23</v>
      </c>
      <c r="E10" s="5" t="s">
        <v>24</v>
      </c>
      <c r="F10" s="6" t="s">
        <v>25</v>
      </c>
      <c r="G10" s="6" t="str">
        <f t="shared" ref="G10:G41" si="0">F10</f>
        <v>22.250</v>
      </c>
      <c r="H10" s="6">
        <f t="shared" ref="H10:H41" si="1">G10*E10</f>
        <v>556250</v>
      </c>
    </row>
    <row r="11" spans="1:8" x14ac:dyDescent="0.25">
      <c r="A11" s="3" t="s">
        <v>26</v>
      </c>
      <c r="B11" s="4" t="s">
        <v>27</v>
      </c>
      <c r="C11" s="4"/>
      <c r="D11" s="3" t="s">
        <v>23</v>
      </c>
      <c r="E11" s="5" t="s">
        <v>28</v>
      </c>
      <c r="F11" s="6" t="s">
        <v>29</v>
      </c>
      <c r="G11" s="6" t="str">
        <f t="shared" si="0"/>
        <v>22.100</v>
      </c>
      <c r="H11" s="6">
        <f t="shared" si="1"/>
        <v>2210000</v>
      </c>
    </row>
    <row r="12" spans="1:8" x14ac:dyDescent="0.25">
      <c r="A12" s="3" t="s">
        <v>30</v>
      </c>
      <c r="B12" s="4" t="s">
        <v>31</v>
      </c>
      <c r="C12" s="4"/>
      <c r="D12" s="3" t="s">
        <v>23</v>
      </c>
      <c r="E12" s="5" t="s">
        <v>32</v>
      </c>
      <c r="F12" s="6" t="s">
        <v>33</v>
      </c>
      <c r="G12" s="6" t="str">
        <f t="shared" si="0"/>
        <v>20.800</v>
      </c>
      <c r="H12" s="6">
        <f t="shared" si="1"/>
        <v>6760000</v>
      </c>
    </row>
    <row r="13" spans="1:8" x14ac:dyDescent="0.25">
      <c r="A13" s="3" t="s">
        <v>34</v>
      </c>
      <c r="B13" s="4" t="s">
        <v>35</v>
      </c>
      <c r="C13" s="4"/>
      <c r="D13" s="3" t="s">
        <v>23</v>
      </c>
      <c r="E13" s="5" t="s">
        <v>36</v>
      </c>
      <c r="F13" s="6" t="s">
        <v>37</v>
      </c>
      <c r="G13" s="6" t="str">
        <f t="shared" si="0"/>
        <v>20.450</v>
      </c>
      <c r="H13" s="6">
        <f t="shared" si="1"/>
        <v>20450000</v>
      </c>
    </row>
    <row r="14" spans="1:8" x14ac:dyDescent="0.25">
      <c r="A14" s="3" t="s">
        <v>38</v>
      </c>
      <c r="B14" s="4" t="s">
        <v>39</v>
      </c>
      <c r="C14" s="4"/>
      <c r="D14" s="3" t="s">
        <v>23</v>
      </c>
      <c r="E14" s="5" t="s">
        <v>40</v>
      </c>
      <c r="F14" s="6" t="s">
        <v>41</v>
      </c>
      <c r="G14" s="6" t="str">
        <f t="shared" si="0"/>
        <v>20.100</v>
      </c>
      <c r="H14" s="6">
        <f t="shared" si="1"/>
        <v>22110000</v>
      </c>
    </row>
    <row r="15" spans="1:8" x14ac:dyDescent="0.25">
      <c r="A15" s="3" t="s">
        <v>42</v>
      </c>
      <c r="B15" s="4" t="s">
        <v>43</v>
      </c>
      <c r="C15" s="4"/>
      <c r="D15" s="3" t="s">
        <v>23</v>
      </c>
      <c r="E15" s="5" t="s">
        <v>44</v>
      </c>
      <c r="F15" s="6" t="s">
        <v>45</v>
      </c>
      <c r="G15" s="6" t="str">
        <f t="shared" si="0"/>
        <v>8.000</v>
      </c>
      <c r="H15" s="6">
        <f t="shared" si="1"/>
        <v>3200000</v>
      </c>
    </row>
    <row r="16" spans="1:8" x14ac:dyDescent="0.25">
      <c r="A16" s="3" t="s">
        <v>46</v>
      </c>
      <c r="B16" s="4" t="s">
        <v>47</v>
      </c>
      <c r="C16" s="4"/>
      <c r="D16" s="3" t="s">
        <v>23</v>
      </c>
      <c r="E16" s="5" t="s">
        <v>16</v>
      </c>
      <c r="F16" s="6" t="s">
        <v>48</v>
      </c>
      <c r="G16" s="6" t="str">
        <f t="shared" si="0"/>
        <v>345.000</v>
      </c>
      <c r="H16" s="6">
        <f t="shared" si="1"/>
        <v>345000</v>
      </c>
    </row>
    <row r="17" spans="1:8" x14ac:dyDescent="0.25">
      <c r="A17" s="3" t="s">
        <v>49</v>
      </c>
      <c r="B17" s="4" t="s">
        <v>50</v>
      </c>
      <c r="C17" s="4"/>
      <c r="D17" s="3" t="s">
        <v>23</v>
      </c>
      <c r="E17" s="5" t="s">
        <v>16</v>
      </c>
      <c r="F17" s="6" t="s">
        <v>51</v>
      </c>
      <c r="G17" s="6" t="str">
        <f t="shared" si="0"/>
        <v>368.000</v>
      </c>
      <c r="H17" s="6">
        <f t="shared" si="1"/>
        <v>368000</v>
      </c>
    </row>
    <row r="18" spans="1:8" x14ac:dyDescent="0.25">
      <c r="A18" s="3" t="s">
        <v>52</v>
      </c>
      <c r="B18" s="4" t="s">
        <v>53</v>
      </c>
      <c r="C18" s="4"/>
      <c r="D18" s="3" t="s">
        <v>54</v>
      </c>
      <c r="E18" s="5" t="s">
        <v>55</v>
      </c>
      <c r="F18" s="6" t="s">
        <v>56</v>
      </c>
      <c r="G18" s="6" t="str">
        <f t="shared" si="0"/>
        <v>30.000</v>
      </c>
      <c r="H18" s="6">
        <f t="shared" si="1"/>
        <v>450000</v>
      </c>
    </row>
    <row r="19" spans="1:8" x14ac:dyDescent="0.25">
      <c r="A19" s="3" t="s">
        <v>57</v>
      </c>
      <c r="B19" s="4" t="s">
        <v>58</v>
      </c>
      <c r="C19" s="4"/>
      <c r="D19" s="3" t="s">
        <v>23</v>
      </c>
      <c r="E19" s="5" t="s">
        <v>30</v>
      </c>
      <c r="F19" s="6" t="s">
        <v>59</v>
      </c>
      <c r="G19" s="6" t="str">
        <f t="shared" si="0"/>
        <v>400.000</v>
      </c>
      <c r="H19" s="6">
        <f t="shared" si="1"/>
        <v>1600000</v>
      </c>
    </row>
    <row r="20" spans="1:8" x14ac:dyDescent="0.25">
      <c r="A20" s="3" t="s">
        <v>60</v>
      </c>
      <c r="B20" s="4" t="s">
        <v>61</v>
      </c>
      <c r="C20" s="4"/>
      <c r="D20" s="3" t="s">
        <v>23</v>
      </c>
      <c r="E20" s="5" t="s">
        <v>30</v>
      </c>
      <c r="F20" s="6" t="s">
        <v>62</v>
      </c>
      <c r="G20" s="6" t="str">
        <f t="shared" si="0"/>
        <v>225.000</v>
      </c>
      <c r="H20" s="6">
        <f t="shared" si="1"/>
        <v>900000</v>
      </c>
    </row>
    <row r="21" spans="1:8" x14ac:dyDescent="0.25">
      <c r="A21" s="3" t="s">
        <v>63</v>
      </c>
      <c r="B21" s="4" t="s">
        <v>64</v>
      </c>
      <c r="C21" s="4"/>
      <c r="D21" s="3" t="s">
        <v>23</v>
      </c>
      <c r="E21" s="5" t="s">
        <v>55</v>
      </c>
      <c r="F21" s="6" t="s">
        <v>65</v>
      </c>
      <c r="G21" s="6" t="str">
        <f t="shared" si="0"/>
        <v>7.000</v>
      </c>
      <c r="H21" s="6">
        <f t="shared" si="1"/>
        <v>105000</v>
      </c>
    </row>
    <row r="22" spans="1:8" x14ac:dyDescent="0.25">
      <c r="A22" s="3" t="s">
        <v>66</v>
      </c>
      <c r="B22" s="4" t="s">
        <v>67</v>
      </c>
      <c r="C22" s="4"/>
      <c r="D22" s="3" t="s">
        <v>23</v>
      </c>
      <c r="E22" s="5" t="s">
        <v>68</v>
      </c>
      <c r="F22" s="6" t="s">
        <v>69</v>
      </c>
      <c r="G22" s="6" t="str">
        <f t="shared" si="0"/>
        <v>35.000</v>
      </c>
      <c r="H22" s="6">
        <f t="shared" si="1"/>
        <v>700000</v>
      </c>
    </row>
    <row r="23" spans="1:8" x14ac:dyDescent="0.25">
      <c r="A23" s="3" t="s">
        <v>55</v>
      </c>
      <c r="B23" s="4" t="s">
        <v>70</v>
      </c>
      <c r="C23" s="4"/>
      <c r="D23" s="3" t="s">
        <v>23</v>
      </c>
      <c r="E23" s="5" t="s">
        <v>26</v>
      </c>
      <c r="F23" s="6" t="s">
        <v>71</v>
      </c>
      <c r="G23" s="6" t="str">
        <f t="shared" si="0"/>
        <v>14.500</v>
      </c>
      <c r="H23" s="6">
        <f t="shared" si="1"/>
        <v>43500</v>
      </c>
    </row>
    <row r="24" spans="1:8" x14ac:dyDescent="0.25">
      <c r="A24" s="3" t="s">
        <v>72</v>
      </c>
      <c r="B24" s="4" t="s">
        <v>73</v>
      </c>
      <c r="C24" s="4"/>
      <c r="D24" s="3" t="s">
        <v>23</v>
      </c>
      <c r="E24" s="5" t="s">
        <v>26</v>
      </c>
      <c r="F24" s="6" t="s">
        <v>71</v>
      </c>
      <c r="G24" s="6" t="str">
        <f t="shared" si="0"/>
        <v>14.500</v>
      </c>
      <c r="H24" s="6">
        <f t="shared" si="1"/>
        <v>43500</v>
      </c>
    </row>
    <row r="25" spans="1:8" x14ac:dyDescent="0.25">
      <c r="A25" s="3" t="s">
        <v>74</v>
      </c>
      <c r="B25" s="4" t="s">
        <v>75</v>
      </c>
      <c r="C25" s="4"/>
      <c r="D25" s="3" t="s">
        <v>23</v>
      </c>
      <c r="E25" s="5" t="s">
        <v>34</v>
      </c>
      <c r="F25" s="6" t="s">
        <v>76</v>
      </c>
      <c r="G25" s="6" t="str">
        <f t="shared" si="0"/>
        <v>25.000</v>
      </c>
      <c r="H25" s="6">
        <f t="shared" si="1"/>
        <v>125000</v>
      </c>
    </row>
    <row r="26" spans="1:8" x14ac:dyDescent="0.25">
      <c r="A26" s="3" t="s">
        <v>77</v>
      </c>
      <c r="B26" s="4" t="s">
        <v>78</v>
      </c>
      <c r="C26" s="4"/>
      <c r="D26" s="3" t="s">
        <v>79</v>
      </c>
      <c r="E26" s="5" t="s">
        <v>34</v>
      </c>
      <c r="F26" s="6" t="s">
        <v>80</v>
      </c>
      <c r="G26" s="6" t="str">
        <f t="shared" si="0"/>
        <v>115.000</v>
      </c>
      <c r="H26" s="6">
        <f t="shared" si="1"/>
        <v>575000</v>
      </c>
    </row>
    <row r="27" spans="1:8" x14ac:dyDescent="0.25">
      <c r="A27" s="3" t="s">
        <v>81</v>
      </c>
      <c r="B27" s="4" t="s">
        <v>82</v>
      </c>
      <c r="C27" s="4"/>
      <c r="D27" s="3" t="s">
        <v>83</v>
      </c>
      <c r="E27" s="5" t="s">
        <v>34</v>
      </c>
      <c r="F27" s="6" t="s">
        <v>76</v>
      </c>
      <c r="G27" s="6" t="str">
        <f t="shared" si="0"/>
        <v>25.000</v>
      </c>
      <c r="H27" s="6">
        <f t="shared" si="1"/>
        <v>125000</v>
      </c>
    </row>
    <row r="28" spans="1:8" x14ac:dyDescent="0.25">
      <c r="A28" s="3" t="s">
        <v>68</v>
      </c>
      <c r="B28" s="4" t="s">
        <v>84</v>
      </c>
      <c r="C28" s="4"/>
      <c r="D28" s="3" t="s">
        <v>54</v>
      </c>
      <c r="E28" s="5" t="s">
        <v>46</v>
      </c>
      <c r="F28" s="6" t="s">
        <v>85</v>
      </c>
      <c r="G28" s="6" t="str">
        <f t="shared" si="0"/>
        <v>55.000</v>
      </c>
      <c r="H28" s="6">
        <f t="shared" si="1"/>
        <v>440000</v>
      </c>
    </row>
    <row r="29" spans="1:8" x14ac:dyDescent="0.25">
      <c r="A29" s="3" t="s">
        <v>86</v>
      </c>
      <c r="B29" s="4" t="s">
        <v>87</v>
      </c>
      <c r="C29" s="4"/>
      <c r="D29" s="3" t="s">
        <v>83</v>
      </c>
      <c r="E29" s="5" t="s">
        <v>26</v>
      </c>
      <c r="F29" s="6" t="s">
        <v>88</v>
      </c>
      <c r="G29" s="6" t="str">
        <f t="shared" si="0"/>
        <v>50.000</v>
      </c>
      <c r="H29" s="6">
        <f t="shared" si="1"/>
        <v>150000</v>
      </c>
    </row>
    <row r="30" spans="1:8" x14ac:dyDescent="0.25">
      <c r="A30" s="3" t="s">
        <v>89</v>
      </c>
      <c r="B30" s="4" t="s">
        <v>90</v>
      </c>
      <c r="C30" s="4"/>
      <c r="D30" s="3" t="s">
        <v>91</v>
      </c>
      <c r="E30" s="5" t="s">
        <v>16</v>
      </c>
      <c r="F30" s="6" t="s">
        <v>92</v>
      </c>
      <c r="G30" s="6" t="str">
        <f t="shared" si="0"/>
        <v>440.000</v>
      </c>
      <c r="H30" s="6">
        <f t="shared" si="1"/>
        <v>440000</v>
      </c>
    </row>
    <row r="31" spans="1:8" x14ac:dyDescent="0.25">
      <c r="A31" s="3" t="s">
        <v>93</v>
      </c>
      <c r="B31" s="4" t="s">
        <v>94</v>
      </c>
      <c r="C31" s="4"/>
      <c r="D31" s="3" t="s">
        <v>91</v>
      </c>
      <c r="E31" s="5" t="s">
        <v>16</v>
      </c>
      <c r="F31" s="6" t="s">
        <v>95</v>
      </c>
      <c r="G31" s="6" t="str">
        <f t="shared" si="0"/>
        <v>425.000</v>
      </c>
      <c r="H31" s="6">
        <f t="shared" si="1"/>
        <v>425000</v>
      </c>
    </row>
    <row r="32" spans="1:8" x14ac:dyDescent="0.25">
      <c r="A32" s="3" t="s">
        <v>96</v>
      </c>
      <c r="B32" s="4" t="s">
        <v>97</v>
      </c>
      <c r="C32" s="4"/>
      <c r="D32" s="3" t="s">
        <v>91</v>
      </c>
      <c r="E32" s="5" t="s">
        <v>16</v>
      </c>
      <c r="F32" s="6" t="s">
        <v>98</v>
      </c>
      <c r="G32" s="6" t="str">
        <f>F32</f>
        <v>419.000</v>
      </c>
      <c r="H32" s="6">
        <f t="shared" si="1"/>
        <v>419000</v>
      </c>
    </row>
    <row r="33" spans="1:8" x14ac:dyDescent="0.25">
      <c r="A33" s="3" t="s">
        <v>24</v>
      </c>
      <c r="B33" s="4" t="s">
        <v>99</v>
      </c>
      <c r="C33" s="4"/>
      <c r="D33" s="3" t="s">
        <v>91</v>
      </c>
      <c r="E33" s="5" t="s">
        <v>16</v>
      </c>
      <c r="F33" s="6" t="s">
        <v>100</v>
      </c>
      <c r="G33" s="6" t="str">
        <f t="shared" si="0"/>
        <v>415.000</v>
      </c>
      <c r="H33" s="6">
        <f t="shared" si="1"/>
        <v>415000</v>
      </c>
    </row>
    <row r="34" spans="1:8" x14ac:dyDescent="0.25">
      <c r="A34" s="3" t="s">
        <v>101</v>
      </c>
      <c r="B34" s="4" t="s">
        <v>102</v>
      </c>
      <c r="C34" s="4"/>
      <c r="D34" s="3" t="s">
        <v>91</v>
      </c>
      <c r="E34" s="5" t="s">
        <v>21</v>
      </c>
      <c r="F34" s="6" t="s">
        <v>103</v>
      </c>
      <c r="G34" s="6" t="str">
        <f t="shared" si="0"/>
        <v>375.000</v>
      </c>
      <c r="H34" s="6">
        <f>G34*E34</f>
        <v>750000</v>
      </c>
    </row>
    <row r="35" spans="1:8" x14ac:dyDescent="0.25">
      <c r="A35" s="3" t="s">
        <v>104</v>
      </c>
      <c r="B35" s="4" t="s">
        <v>105</v>
      </c>
      <c r="C35" s="4"/>
      <c r="D35" s="3" t="s">
        <v>83</v>
      </c>
      <c r="E35" s="5" t="s">
        <v>21</v>
      </c>
      <c r="F35" s="6" t="s">
        <v>106</v>
      </c>
      <c r="G35" s="6" t="str">
        <f t="shared" si="0"/>
        <v>120.000</v>
      </c>
      <c r="H35" s="6">
        <f t="shared" si="1"/>
        <v>240000</v>
      </c>
    </row>
    <row r="36" spans="1:8" x14ac:dyDescent="0.25">
      <c r="A36" s="3" t="s">
        <v>107</v>
      </c>
      <c r="B36" s="4" t="s">
        <v>108</v>
      </c>
      <c r="C36" s="4"/>
      <c r="D36" s="3" t="s">
        <v>83</v>
      </c>
      <c r="E36" s="5" t="s">
        <v>21</v>
      </c>
      <c r="F36" s="6" t="s">
        <v>109</v>
      </c>
      <c r="G36" s="6" t="str">
        <f t="shared" si="0"/>
        <v>95.500</v>
      </c>
      <c r="H36" s="6">
        <f t="shared" si="1"/>
        <v>191000</v>
      </c>
    </row>
    <row r="37" spans="1:8" x14ac:dyDescent="0.25">
      <c r="A37" s="3" t="s">
        <v>110</v>
      </c>
      <c r="B37" s="4" t="s">
        <v>111</v>
      </c>
      <c r="C37" s="4"/>
      <c r="D37" s="3" t="s">
        <v>112</v>
      </c>
      <c r="E37" s="5" t="s">
        <v>55</v>
      </c>
      <c r="F37" s="6" t="s">
        <v>56</v>
      </c>
      <c r="G37" s="6" t="str">
        <f t="shared" si="0"/>
        <v>30.000</v>
      </c>
      <c r="H37" s="6">
        <f t="shared" si="1"/>
        <v>450000</v>
      </c>
    </row>
    <row r="38" spans="1:8" x14ac:dyDescent="0.25">
      <c r="A38" s="3" t="s">
        <v>113</v>
      </c>
      <c r="B38" s="4" t="s">
        <v>114</v>
      </c>
      <c r="C38" s="4"/>
      <c r="D38" s="3" t="s">
        <v>112</v>
      </c>
      <c r="E38" s="5" t="s">
        <v>68</v>
      </c>
      <c r="F38" s="6" t="s">
        <v>76</v>
      </c>
      <c r="G38" s="6" t="str">
        <f t="shared" si="0"/>
        <v>25.000</v>
      </c>
      <c r="H38" s="6">
        <f t="shared" si="1"/>
        <v>500000</v>
      </c>
    </row>
    <row r="39" spans="1:8" x14ac:dyDescent="0.25">
      <c r="A39" s="3" t="s">
        <v>115</v>
      </c>
      <c r="B39" s="4" t="s">
        <v>116</v>
      </c>
      <c r="C39" s="4"/>
      <c r="D39" s="3" t="s">
        <v>117</v>
      </c>
      <c r="E39" s="5" t="s">
        <v>113</v>
      </c>
      <c r="F39" s="6" t="s">
        <v>85</v>
      </c>
      <c r="G39" s="6" t="str">
        <f t="shared" si="0"/>
        <v>55.000</v>
      </c>
      <c r="H39" s="6">
        <f t="shared" si="1"/>
        <v>1650000</v>
      </c>
    </row>
    <row r="40" spans="1:8" x14ac:dyDescent="0.25">
      <c r="A40" s="3" t="s">
        <v>118</v>
      </c>
      <c r="B40" s="4" t="s">
        <v>119</v>
      </c>
      <c r="C40" s="4"/>
      <c r="D40" s="3" t="s">
        <v>83</v>
      </c>
      <c r="E40" s="5" t="s">
        <v>28</v>
      </c>
      <c r="F40" s="6" t="s">
        <v>120</v>
      </c>
      <c r="G40" s="6" t="str">
        <f t="shared" si="0"/>
        <v>17.500</v>
      </c>
      <c r="H40" s="6">
        <f t="shared" si="1"/>
        <v>1750000</v>
      </c>
    </row>
    <row r="41" spans="1:8" x14ac:dyDescent="0.25">
      <c r="A41" s="3" t="s">
        <v>121</v>
      </c>
      <c r="B41" s="4" t="s">
        <v>122</v>
      </c>
      <c r="C41" s="4"/>
      <c r="D41" s="3" t="s">
        <v>112</v>
      </c>
      <c r="E41" s="5" t="s">
        <v>26</v>
      </c>
      <c r="F41" s="6" t="s">
        <v>123</v>
      </c>
      <c r="G41" s="6" t="str">
        <f t="shared" si="0"/>
        <v>95.000</v>
      </c>
      <c r="H41" s="6">
        <f t="shared" si="1"/>
        <v>285000</v>
      </c>
    </row>
    <row r="43" spans="1:8" x14ac:dyDescent="0.25">
      <c r="A43" s="7" t="s">
        <v>124</v>
      </c>
      <c r="B43" s="10"/>
      <c r="C43" s="10"/>
      <c r="D43" s="10"/>
      <c r="E43" s="10"/>
      <c r="F43" s="10"/>
      <c r="G43" s="11"/>
      <c r="H43" s="7" t="s">
        <v>125</v>
      </c>
    </row>
    <row r="44" spans="1:8" x14ac:dyDescent="0.25">
      <c r="A44" s="5" t="s">
        <v>126</v>
      </c>
      <c r="B44" s="10"/>
      <c r="C44" s="10"/>
      <c r="D44" s="10"/>
      <c r="E44" s="10"/>
      <c r="F44" s="10"/>
      <c r="G44" s="11"/>
      <c r="H44" s="5" t="s">
        <v>127</v>
      </c>
    </row>
    <row r="45" spans="1:8" x14ac:dyDescent="0.25">
      <c r="A45" s="8" t="s">
        <v>128</v>
      </c>
      <c r="B45" s="10"/>
      <c r="C45" s="10"/>
      <c r="D45" s="10"/>
      <c r="E45" s="10"/>
      <c r="F45" s="10"/>
      <c r="G45" s="11"/>
      <c r="H45" s="8" t="s">
        <v>129</v>
      </c>
    </row>
    <row r="47" spans="1:8" x14ac:dyDescent="0.25">
      <c r="A47" s="9" t="s">
        <v>130</v>
      </c>
      <c r="C4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HPS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firdausdabamona</cp:lastModifiedBy>
  <dcterms:created xsi:type="dcterms:W3CDTF">2026-01-17T05:54:45Z</dcterms:created>
  <dcterms:modified xsi:type="dcterms:W3CDTF">2026-01-17T05:58:24Z</dcterms:modified>
</cp:coreProperties>
</file>